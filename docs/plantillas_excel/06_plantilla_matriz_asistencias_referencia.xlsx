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 de Asistencia" state="visible" r:id="rId4"/>
  </sheets>
  <calcPr calcId="171027"/>
</workbook>
</file>

<file path=xl/sharedStrings.xml><?xml version="1.0" encoding="utf-8"?>
<sst xmlns="http://schemas.openxmlformats.org/spreadsheetml/2006/main" count="181" uniqueCount="63">
  <si>
    <t>PLANILLA CONSOLIDADA DE ASISTENCIAS - DIRECCIÓN DE POSTGRADO</t>
  </si>
  <si>
    <t>Módulo: Infraestructura como Código (IaC) | Código: DCID-V1E1-M2 | Estado: ACTIVO | Descargado: 14/10/2026</t>
  </si>
  <si>
    <t>Nro. Registro</t>
  </si>
  <si>
    <t>Nombre Completo</t>
  </si>
  <si>
    <t>Correo Electrónico</t>
  </si>
  <si>
    <t>19/10/2026</t>
  </si>
  <si>
    <t>21/10/2026</t>
  </si>
  <si>
    <t>23/10/2026</t>
  </si>
  <si>
    <t>26/10/2026</t>
  </si>
  <si>
    <t>28/10/2026</t>
  </si>
  <si>
    <t>30/10/2026</t>
  </si>
  <si>
    <t>02/11/2026</t>
  </si>
  <si>
    <t>04/11/2026</t>
  </si>
  <si>
    <t>Presentes (P)</t>
  </si>
  <si>
    <t>Faltas (F)</t>
  </si>
  <si>
    <t>% Asistencia</t>
  </si>
  <si>
    <t>1001</t>
  </si>
  <si>
    <t>Juan Pérez Gómez</t>
  </si>
  <si>
    <t>juan.perez@postgrado.edu.bo</t>
  </si>
  <si>
    <t>P</t>
  </si>
  <si>
    <t>1002</t>
  </si>
  <si>
    <t>María López Fernández</t>
  </si>
  <si>
    <t>maria.lopez@postgrado.edu.bo</t>
  </si>
  <si>
    <t>F</t>
  </si>
  <si>
    <t>1003</t>
  </si>
  <si>
    <t>Carlos Ruiz Morales</t>
  </si>
  <si>
    <t>carlos.ruiz@postgrado.edu.bo</t>
  </si>
  <si>
    <t>1004</t>
  </si>
  <si>
    <t>Ana Rodríguez Vaca</t>
  </si>
  <si>
    <t>ana.rodriguez@postgrado.edu.bo</t>
  </si>
  <si>
    <t>1005</t>
  </si>
  <si>
    <t>David Mamani Quispe</t>
  </si>
  <si>
    <t>david.mamani@postgrado.edu.bo</t>
  </si>
  <si>
    <t>1006</t>
  </si>
  <si>
    <t>Sofía Vargas Torrico</t>
  </si>
  <si>
    <t>sofia.vargas@postgrado.edu.bo</t>
  </si>
  <si>
    <t>1007</t>
  </si>
  <si>
    <t>Lucas Mendoza Castro</t>
  </si>
  <si>
    <t>lucas.mendoza@postgrado.edu.bo</t>
  </si>
  <si>
    <t>1008</t>
  </si>
  <si>
    <t>Valentina Flores Soliz</t>
  </si>
  <si>
    <t>valentina.flores@postgrado.edu.bo</t>
  </si>
  <si>
    <t>1009</t>
  </si>
  <si>
    <t>Mateo Fernández Chávez</t>
  </si>
  <si>
    <t>mateo.fernandez@postgrado.edu.bo</t>
  </si>
  <si>
    <t>1010</t>
  </si>
  <si>
    <t>Camila Gutiérrez Paz</t>
  </si>
  <si>
    <t>camila.gutierrez@postgrado.edu.bo</t>
  </si>
  <si>
    <t>1011</t>
  </si>
  <si>
    <t>Diego Morales Pinto</t>
  </si>
  <si>
    <t>diego.morales@postgrado.edu.bo</t>
  </si>
  <si>
    <t>1012</t>
  </si>
  <si>
    <t>Lucía Castro Ortiz</t>
  </si>
  <si>
    <t>lucia.castro@postgrado.edu.bo</t>
  </si>
  <si>
    <t>1013</t>
  </si>
  <si>
    <t>Gabriel Romero Dorado</t>
  </si>
  <si>
    <t>gabriel.romero@postgrado.edu.bo</t>
  </si>
  <si>
    <t>1014</t>
  </si>
  <si>
    <t>Valeria Suárez Justiniano</t>
  </si>
  <si>
    <t>valeria.suarez@postgrado.edu.bo</t>
  </si>
  <si>
    <t>1015</t>
  </si>
  <si>
    <t>Alejandro Rojas Aguilera</t>
  </si>
  <si>
    <t>alejandro.rojas@postgrado.edu.bo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</si>
</sst>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FFFFFF"/>
      <sz val="10"/>
      <name val="Segoe UI"/>
    </font>
    <font>
      <b/>
      <color rgb="FFFFFF"/>
      <sz val="11"/>
      <name val="Segoe UI"/>
    </font>
    <font>
      <color rgb="0F172A"/>
      <sz val="10"/>
      <name val="Segoe UI"/>
    </font>
    <font>
      <b/>
      <color rgb="166534"/>
      <sz val="10"/>
      <name val="Segoe UI"/>
    </font>
    <font>
      <b/>
      <color rgb="991B1B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334155"/>
      </patternFill>
    </fill>
    <fill>
      <patternFill patternType="solid">
        <fgColor rgb="4338CA"/>
      </patternFill>
    </fill>
    <fill>
      <patternFill patternType="solid">
        <fgColor rgb="047857"/>
      </patternFill>
    </fill>
    <fill>
      <patternFill patternType="solid">
        <fgColor rgb="DCFCE7"/>
      </patternFill>
    </fill>
    <fill>
      <patternFill patternType="solid">
        <fgColor rgb="FEE2E2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/>
  </sheetViews>
  <sheetFormatPr defaultRowHeight="15" outlineLevelRow="0" outlineLevelCol="0" x14ac:dyDescent="55"/>
  <cols>
    <col min="1" max="1" width="16" customWidth="1"/>
    <col min="2" max="2" width="30" customWidth="1"/>
    <col min="3" max="3" width="32" customWidth="1"/>
    <col min="4" max="11" width="14" customWidth="1"/>
    <col min="12" max="13" width="15" customWidth="1"/>
    <col min="14" max="14" width="16" customWidth="1"/>
  </cols>
  <sheetData>
    <row r="1" ht="34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6" customHeight="1" spans="1:14" x14ac:dyDescent="0.25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5" t="s">
        <v>13</v>
      </c>
      <c r="M3" s="5" t="s">
        <v>14</v>
      </c>
      <c r="N3" s="5" t="s">
        <v>15</v>
      </c>
    </row>
    <row r="4" ht="20" customHeight="1" spans="1:14" x14ac:dyDescent="0.25">
      <c r="A4" s="6" t="s">
        <v>16</v>
      </c>
      <c r="B4" s="7" t="s">
        <v>17</v>
      </c>
      <c r="C4" s="7" t="s">
        <v>18</v>
      </c>
      <c r="D4" s="8" t="s">
        <v>19</v>
      </c>
      <c r="E4" s="8" t="s">
        <v>19</v>
      </c>
      <c r="F4" s="8" t="s">
        <v>19</v>
      </c>
      <c r="G4" s="8" t="s">
        <v>19</v>
      </c>
      <c r="H4" s="8" t="s">
        <v>19</v>
      </c>
      <c r="I4" s="8" t="s">
        <v>19</v>
      </c>
      <c r="J4" s="8" t="s">
        <v>19</v>
      </c>
      <c r="K4" s="8" t="s">
        <v>19</v>
      </c>
      <c r="L4" s="6">
        <f>COUNTIF(D4:K4, "P")</f>
      </c>
      <c r="M4" s="6">
        <f>COUNTIF(D4:K4, "F")</f>
      </c>
      <c r="N4" s="9">
        <f>L4/(L4+M4)</f>
      </c>
    </row>
    <row r="5" ht="20" customHeight="1" spans="1:14" x14ac:dyDescent="0.25">
      <c r="A5" s="6" t="s">
        <v>20</v>
      </c>
      <c r="B5" s="7" t="s">
        <v>21</v>
      </c>
      <c r="C5" s="7" t="s">
        <v>22</v>
      </c>
      <c r="D5" s="8" t="s">
        <v>19</v>
      </c>
      <c r="E5" s="8" t="s">
        <v>19</v>
      </c>
      <c r="F5" s="10" t="s">
        <v>23</v>
      </c>
      <c r="G5" s="8" t="s">
        <v>19</v>
      </c>
      <c r="H5" s="8" t="s">
        <v>19</v>
      </c>
      <c r="I5" s="8" t="s">
        <v>19</v>
      </c>
      <c r="J5" s="8" t="s">
        <v>19</v>
      </c>
      <c r="K5" s="8" t="s">
        <v>19</v>
      </c>
      <c r="L5" s="6">
        <f>COUNTIF(D5:K5, "P")</f>
      </c>
      <c r="M5" s="6">
        <f>COUNTIF(D5:K5, "F")</f>
      </c>
      <c r="N5" s="9">
        <f>L5/(L5+M5)</f>
      </c>
    </row>
    <row r="6" ht="20" customHeight="1" spans="1:14" x14ac:dyDescent="0.25">
      <c r="A6" s="6" t="s">
        <v>24</v>
      </c>
      <c r="B6" s="7" t="s">
        <v>25</v>
      </c>
      <c r="C6" s="7" t="s">
        <v>26</v>
      </c>
      <c r="D6" s="8" t="s">
        <v>19</v>
      </c>
      <c r="E6" s="10" t="s">
        <v>23</v>
      </c>
      <c r="F6" s="10" t="s">
        <v>23</v>
      </c>
      <c r="G6" s="8" t="s">
        <v>19</v>
      </c>
      <c r="H6" s="8" t="s">
        <v>19</v>
      </c>
      <c r="I6" s="10" t="s">
        <v>23</v>
      </c>
      <c r="J6" s="8" t="s">
        <v>19</v>
      </c>
      <c r="K6" s="8" t="s">
        <v>19</v>
      </c>
      <c r="L6" s="6">
        <f>COUNTIF(D6:K6, "P")</f>
      </c>
      <c r="M6" s="6">
        <f>COUNTIF(D6:K6, "F")</f>
      </c>
      <c r="N6" s="9">
        <f>L6/(L6+M6)</f>
      </c>
    </row>
    <row r="7" ht="20" customHeight="1" spans="1:14" x14ac:dyDescent="0.25">
      <c r="A7" s="6" t="s">
        <v>27</v>
      </c>
      <c r="B7" s="7" t="s">
        <v>28</v>
      </c>
      <c r="C7" s="7" t="s">
        <v>29</v>
      </c>
      <c r="D7" s="8" t="s">
        <v>19</v>
      </c>
      <c r="E7" s="8" t="s">
        <v>19</v>
      </c>
      <c r="F7" s="8" t="s">
        <v>19</v>
      </c>
      <c r="G7" s="8" t="s">
        <v>19</v>
      </c>
      <c r="H7" s="8" t="s">
        <v>19</v>
      </c>
      <c r="I7" s="8" t="s">
        <v>19</v>
      </c>
      <c r="J7" s="8" t="s">
        <v>19</v>
      </c>
      <c r="K7" s="8" t="s">
        <v>19</v>
      </c>
      <c r="L7" s="6">
        <f>COUNTIF(D7:K7, "P")</f>
      </c>
      <c r="M7" s="6">
        <f>COUNTIF(D7:K7, "F")</f>
      </c>
      <c r="N7" s="9">
        <f>L7/(L7+M7)</f>
      </c>
    </row>
    <row r="8" ht="20" customHeight="1" spans="1:14" x14ac:dyDescent="0.25">
      <c r="A8" s="6" t="s">
        <v>30</v>
      </c>
      <c r="B8" s="7" t="s">
        <v>31</v>
      </c>
      <c r="C8" s="7" t="s">
        <v>32</v>
      </c>
      <c r="D8" s="8" t="s">
        <v>19</v>
      </c>
      <c r="E8" s="8" t="s">
        <v>19</v>
      </c>
      <c r="F8" s="8" t="s">
        <v>19</v>
      </c>
      <c r="G8" s="10" t="s">
        <v>23</v>
      </c>
      <c r="H8" s="8" t="s">
        <v>19</v>
      </c>
      <c r="I8" s="8" t="s">
        <v>19</v>
      </c>
      <c r="J8" s="8" t="s">
        <v>19</v>
      </c>
      <c r="K8" s="8" t="s">
        <v>19</v>
      </c>
      <c r="L8" s="6">
        <f>COUNTIF(D8:K8, "P")</f>
      </c>
      <c r="M8" s="6">
        <f>COUNTIF(D8:K8, "F")</f>
      </c>
      <c r="N8" s="9">
        <f>L8/(L8+M8)</f>
      </c>
    </row>
    <row r="9" ht="20" customHeight="1" spans="1:14" x14ac:dyDescent="0.25">
      <c r="A9" s="6" t="s">
        <v>33</v>
      </c>
      <c r="B9" s="7" t="s">
        <v>34</v>
      </c>
      <c r="C9" s="7" t="s">
        <v>35</v>
      </c>
      <c r="D9" s="10" t="s">
        <v>23</v>
      </c>
      <c r="E9" s="8" t="s">
        <v>19</v>
      </c>
      <c r="F9" s="8" t="s">
        <v>19</v>
      </c>
      <c r="G9" s="8" t="s">
        <v>19</v>
      </c>
      <c r="H9" s="8" t="s">
        <v>19</v>
      </c>
      <c r="I9" s="8" t="s">
        <v>19</v>
      </c>
      <c r="J9" s="8" t="s">
        <v>19</v>
      </c>
      <c r="K9" s="8" t="s">
        <v>19</v>
      </c>
      <c r="L9" s="6">
        <f>COUNTIF(D9:K9, "P")</f>
      </c>
      <c r="M9" s="6">
        <f>COUNTIF(D9:K9, "F")</f>
      </c>
      <c r="N9" s="9">
        <f>L9/(L9+M9)</f>
      </c>
    </row>
    <row r="10" ht="20" customHeight="1" spans="1:14" x14ac:dyDescent="0.25">
      <c r="A10" s="6" t="s">
        <v>36</v>
      </c>
      <c r="B10" s="7" t="s">
        <v>37</v>
      </c>
      <c r="C10" s="7" t="s">
        <v>38</v>
      </c>
      <c r="D10" s="8" t="s">
        <v>19</v>
      </c>
      <c r="E10" s="8" t="s">
        <v>19</v>
      </c>
      <c r="F10" s="8" t="s">
        <v>19</v>
      </c>
      <c r="G10" s="8" t="s">
        <v>19</v>
      </c>
      <c r="H10" s="8" t="s">
        <v>19</v>
      </c>
      <c r="I10" s="8" t="s">
        <v>19</v>
      </c>
      <c r="J10" s="8" t="s">
        <v>19</v>
      </c>
      <c r="K10" s="8" t="s">
        <v>19</v>
      </c>
      <c r="L10" s="6">
        <f>COUNTIF(D10:K10, "P")</f>
      </c>
      <c r="M10" s="6">
        <f>COUNTIF(D10:K10, "F")</f>
      </c>
      <c r="N10" s="9">
        <f>L10/(L10+M10)</f>
      </c>
    </row>
    <row r="11" ht="20" customHeight="1" spans="1:14" x14ac:dyDescent="0.25">
      <c r="A11" s="6" t="s">
        <v>39</v>
      </c>
      <c r="B11" s="7" t="s">
        <v>40</v>
      </c>
      <c r="C11" s="7" t="s">
        <v>41</v>
      </c>
      <c r="D11" s="8" t="s">
        <v>19</v>
      </c>
      <c r="E11" s="10" t="s">
        <v>23</v>
      </c>
      <c r="F11" s="8" t="s">
        <v>19</v>
      </c>
      <c r="G11" s="8" t="s">
        <v>19</v>
      </c>
      <c r="H11" s="8" t="s">
        <v>19</v>
      </c>
      <c r="I11" s="8" t="s">
        <v>19</v>
      </c>
      <c r="J11" s="10" t="s">
        <v>23</v>
      </c>
      <c r="K11" s="8" t="s">
        <v>19</v>
      </c>
      <c r="L11" s="6">
        <f>COUNTIF(D11:K11, "P")</f>
      </c>
      <c r="M11" s="6">
        <f>COUNTIF(D11:K11, "F")</f>
      </c>
      <c r="N11" s="9">
        <f>L11/(L11+M11)</f>
      </c>
    </row>
    <row r="12" ht="20" customHeight="1" spans="1:14" x14ac:dyDescent="0.25">
      <c r="A12" s="6" t="s">
        <v>42</v>
      </c>
      <c r="B12" s="7" t="s">
        <v>43</v>
      </c>
      <c r="C12" s="7" t="s">
        <v>44</v>
      </c>
      <c r="D12" s="8" t="s">
        <v>19</v>
      </c>
      <c r="E12" s="8" t="s">
        <v>19</v>
      </c>
      <c r="F12" s="8" t="s">
        <v>19</v>
      </c>
      <c r="G12" s="8" t="s">
        <v>19</v>
      </c>
      <c r="H12" s="8" t="s">
        <v>19</v>
      </c>
      <c r="I12" s="8" t="s">
        <v>19</v>
      </c>
      <c r="J12" s="8" t="s">
        <v>19</v>
      </c>
      <c r="K12" s="8" t="s">
        <v>19</v>
      </c>
      <c r="L12" s="6">
        <f>COUNTIF(D12:K12, "P")</f>
      </c>
      <c r="M12" s="6">
        <f>COUNTIF(D12:K12, "F")</f>
      </c>
      <c r="N12" s="9">
        <f>L12/(L12+M12)</f>
      </c>
    </row>
    <row r="13" ht="20" customHeight="1" spans="1:14" x14ac:dyDescent="0.25">
      <c r="A13" s="6" t="s">
        <v>45</v>
      </c>
      <c r="B13" s="7" t="s">
        <v>46</v>
      </c>
      <c r="C13" s="7" t="s">
        <v>47</v>
      </c>
      <c r="D13" s="8" t="s">
        <v>19</v>
      </c>
      <c r="E13" s="8" t="s">
        <v>19</v>
      </c>
      <c r="F13" s="8" t="s">
        <v>19</v>
      </c>
      <c r="G13" s="8" t="s">
        <v>19</v>
      </c>
      <c r="H13" s="8" t="s">
        <v>19</v>
      </c>
      <c r="I13" s="8" t="s">
        <v>19</v>
      </c>
      <c r="J13" s="8" t="s">
        <v>19</v>
      </c>
      <c r="K13" s="10" t="s">
        <v>23</v>
      </c>
      <c r="L13" s="6">
        <f>COUNTIF(D13:K13, "P")</f>
      </c>
      <c r="M13" s="6">
        <f>COUNTIF(D13:K13, "F")</f>
      </c>
      <c r="N13" s="9">
        <f>L13/(L13+M13)</f>
      </c>
    </row>
    <row r="14" ht="20" customHeight="1" spans="1:14" x14ac:dyDescent="0.25">
      <c r="A14" s="6" t="s">
        <v>48</v>
      </c>
      <c r="B14" s="7" t="s">
        <v>49</v>
      </c>
      <c r="C14" s="7" t="s">
        <v>50</v>
      </c>
      <c r="D14" s="8" t="s">
        <v>19</v>
      </c>
      <c r="E14" s="8" t="s">
        <v>19</v>
      </c>
      <c r="F14" s="10" t="s">
        <v>23</v>
      </c>
      <c r="G14" s="10" t="s">
        <v>23</v>
      </c>
      <c r="H14" s="8" t="s">
        <v>19</v>
      </c>
      <c r="I14" s="8" t="s">
        <v>19</v>
      </c>
      <c r="J14" s="8" t="s">
        <v>19</v>
      </c>
      <c r="K14" s="8" t="s">
        <v>19</v>
      </c>
      <c r="L14" s="6">
        <f>COUNTIF(D14:K14, "P")</f>
      </c>
      <c r="M14" s="6">
        <f>COUNTIF(D14:K14, "F")</f>
      </c>
      <c r="N14" s="9">
        <f>L14/(L14+M14)</f>
      </c>
    </row>
    <row r="15" ht="20" customHeight="1" spans="1:14" x14ac:dyDescent="0.25">
      <c r="A15" s="6" t="s">
        <v>51</v>
      </c>
      <c r="B15" s="7" t="s">
        <v>52</v>
      </c>
      <c r="C15" s="7" t="s">
        <v>53</v>
      </c>
      <c r="D15" s="8" t="s">
        <v>19</v>
      </c>
      <c r="E15" s="8" t="s">
        <v>19</v>
      </c>
      <c r="F15" s="8" t="s">
        <v>19</v>
      </c>
      <c r="G15" s="8" t="s">
        <v>19</v>
      </c>
      <c r="H15" s="8" t="s">
        <v>19</v>
      </c>
      <c r="I15" s="8" t="s">
        <v>19</v>
      </c>
      <c r="J15" s="8" t="s">
        <v>19</v>
      </c>
      <c r="K15" s="8" t="s">
        <v>19</v>
      </c>
      <c r="L15" s="6">
        <f>COUNTIF(D15:K15, "P")</f>
      </c>
      <c r="M15" s="6">
        <f>COUNTIF(D15:K15, "F")</f>
      </c>
      <c r="N15" s="9">
        <f>L15/(L15+M15)</f>
      </c>
    </row>
    <row r="16" ht="20" customHeight="1" spans="1:14" x14ac:dyDescent="0.25">
      <c r="A16" s="6" t="s">
        <v>54</v>
      </c>
      <c r="B16" s="7" t="s">
        <v>55</v>
      </c>
      <c r="C16" s="7" t="s">
        <v>56</v>
      </c>
      <c r="D16" s="10" t="s">
        <v>23</v>
      </c>
      <c r="E16" s="10" t="s">
        <v>23</v>
      </c>
      <c r="F16" s="8" t="s">
        <v>19</v>
      </c>
      <c r="G16" s="8" t="s">
        <v>19</v>
      </c>
      <c r="H16" s="8" t="s">
        <v>19</v>
      </c>
      <c r="I16" s="8" t="s">
        <v>19</v>
      </c>
      <c r="J16" s="8" t="s">
        <v>19</v>
      </c>
      <c r="K16" s="8" t="s">
        <v>19</v>
      </c>
      <c r="L16" s="6">
        <f>COUNTIF(D16:K16, "P")</f>
      </c>
      <c r="M16" s="6">
        <f>COUNTIF(D16:K16, "F")</f>
      </c>
      <c r="N16" s="9">
        <f>L16/(L16+M16)</f>
      </c>
    </row>
    <row r="17" ht="20" customHeight="1" spans="1:14" x14ac:dyDescent="0.25">
      <c r="A17" s="6" t="s">
        <v>57</v>
      </c>
      <c r="B17" s="7" t="s">
        <v>58</v>
      </c>
      <c r="C17" s="7" t="s">
        <v>59</v>
      </c>
      <c r="D17" s="8" t="s">
        <v>19</v>
      </c>
      <c r="E17" s="8" t="s">
        <v>19</v>
      </c>
      <c r="F17" s="8" t="s">
        <v>19</v>
      </c>
      <c r="G17" s="8" t="s">
        <v>19</v>
      </c>
      <c r="H17" s="8" t="s">
        <v>19</v>
      </c>
      <c r="I17" s="8" t="s">
        <v>19</v>
      </c>
      <c r="J17" s="8" t="s">
        <v>19</v>
      </c>
      <c r="K17" s="8" t="s">
        <v>19</v>
      </c>
      <c r="L17" s="6">
        <f>COUNTIF(D17:K17, "P")</f>
      </c>
      <c r="M17" s="6">
        <f>COUNTIF(D17:K17, "F")</f>
      </c>
      <c r="N17" s="9">
        <f>L17/(L17+M17)</f>
      </c>
    </row>
    <row r="18" ht="20" customHeight="1" spans="1:14" x14ac:dyDescent="0.25">
      <c r="A18" s="6" t="s">
        <v>60</v>
      </c>
      <c r="B18" s="7" t="s">
        <v>61</v>
      </c>
      <c r="C18" s="7" t="s">
        <v>62</v>
      </c>
      <c r="D18" s="8" t="s">
        <v>19</v>
      </c>
      <c r="E18" s="8" t="s">
        <v>19</v>
      </c>
      <c r="F18" s="8" t="s">
        <v>19</v>
      </c>
      <c r="G18" s="8" t="s">
        <v>19</v>
      </c>
      <c r="H18" s="10" t="s">
        <v>23</v>
      </c>
      <c r="I18" s="8" t="s">
        <v>19</v>
      </c>
      <c r="J18" s="8" t="s">
        <v>19</v>
      </c>
      <c r="K18" s="8" t="s">
        <v>19</v>
      </c>
      <c r="L18" s="6">
        <f>COUNTIF(D18:K18, "P")</f>
      </c>
      <c r="M18" s="6">
        <f>COUNTIF(D18:K18, "F")</f>
      </c>
      <c r="N18" s="9">
        <f>L18/(L18+M18)</f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de Asistencia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Dirección de Postgrado</dc:creator>
  <dc:title/>
  <dc:subject/>
  <dc:description/>
  <cp:keywords/>
  <cp:category/>
  <cp:lastModifiedBy>Unknown</cp:lastModifiedBy>
  <dcterms:created xsi:type="dcterms:W3CDTF">2026-10-14T23:34:22Z</dcterms:created>
  <dcterms:modified xsi:type="dcterms:W3CDTF">2026-10-14T23:34:22Z</dcterms:modified>
</cp:coreProperties>
</file>